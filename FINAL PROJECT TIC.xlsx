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423728-6DB9-48CB-96DF-AFF5D3D1AB60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Quistion1" sheetId="1" r:id="rId1"/>
    <sheet name=" Quistion2 Table1" sheetId="2" r:id="rId2"/>
    <sheet name="Table2" sheetId="3" r:id="rId3"/>
    <sheet name="Table3" sheetId="7" r:id="rId4"/>
    <sheet name="Quistion3" sheetId="5" r:id="rId5"/>
    <sheet name="Quistion4" sheetId="4" r:id="rId6"/>
  </sheets>
  <calcPr calcId="191029"/>
  <pivotCaches>
    <pivotCache cacheId="0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5" l="1"/>
  <c r="F5" i="5"/>
  <c r="F6" i="5"/>
  <c r="F7" i="5"/>
  <c r="F8" i="5"/>
  <c r="F9" i="5"/>
  <c r="F10" i="5"/>
  <c r="F11" i="5"/>
  <c r="F12" i="5"/>
  <c r="F13" i="5"/>
  <c r="F14" i="5"/>
  <c r="F15" i="5"/>
  <c r="E4" i="5"/>
  <c r="E5" i="5"/>
  <c r="E6" i="5"/>
  <c r="E7" i="5"/>
  <c r="E8" i="5"/>
  <c r="E9" i="5"/>
  <c r="E10" i="5"/>
  <c r="E11" i="5"/>
  <c r="E12" i="5"/>
  <c r="E13" i="5"/>
  <c r="E14" i="5"/>
  <c r="E15" i="5"/>
  <c r="F2" i="5"/>
  <c r="F3" i="5"/>
  <c r="E2" i="5"/>
  <c r="D4" i="5"/>
  <c r="D5" i="5"/>
  <c r="D6" i="5"/>
  <c r="G6" i="5" s="1"/>
  <c r="D7" i="5"/>
  <c r="D8" i="5"/>
  <c r="D9" i="5"/>
  <c r="D10" i="5"/>
  <c r="D11" i="5"/>
  <c r="D12" i="5"/>
  <c r="D13" i="5"/>
  <c r="D14" i="5"/>
  <c r="D15" i="5"/>
  <c r="D3" i="5"/>
  <c r="E3" i="5" s="1"/>
  <c r="G3" i="5" s="1"/>
  <c r="D2" i="5"/>
  <c r="C3" i="4"/>
  <c r="C4" i="4"/>
  <c r="C5" i="4"/>
  <c r="C6" i="4"/>
  <c r="C7" i="4"/>
  <c r="C8" i="4"/>
  <c r="C9" i="4"/>
  <c r="C10" i="4"/>
  <c r="C11" i="4"/>
  <c r="C2" i="4"/>
  <c r="G5" i="5" l="1"/>
  <c r="G15" i="5"/>
  <c r="G14" i="5"/>
  <c r="G12" i="5"/>
  <c r="G11" i="5"/>
  <c r="G10" i="5"/>
  <c r="G8" i="5"/>
  <c r="G7" i="5"/>
  <c r="G4" i="5"/>
  <c r="G13" i="5"/>
  <c r="G2" i="5"/>
  <c r="G9" i="5" l="1"/>
  <c r="G17" i="5" s="1"/>
  <c r="G19" i="5" s="1"/>
  <c r="G20" i="5" s="1"/>
</calcChain>
</file>

<file path=xl/sharedStrings.xml><?xml version="1.0" encoding="utf-8"?>
<sst xmlns="http://schemas.openxmlformats.org/spreadsheetml/2006/main" count="137" uniqueCount="36">
  <si>
    <t xml:space="preserve">Ivy League Applicants </t>
  </si>
  <si>
    <t>Faculty</t>
  </si>
  <si>
    <t>University</t>
  </si>
  <si>
    <t>Students</t>
  </si>
  <si>
    <t>Arts</t>
  </si>
  <si>
    <t>Yale</t>
  </si>
  <si>
    <t>Physics</t>
  </si>
  <si>
    <t>Brown</t>
  </si>
  <si>
    <t>Economics</t>
  </si>
  <si>
    <t>Dartmouth</t>
  </si>
  <si>
    <t>Harvard</t>
  </si>
  <si>
    <t>Cornell</t>
  </si>
  <si>
    <t>Princeton</t>
  </si>
  <si>
    <t>Penn State</t>
  </si>
  <si>
    <t>Columbia</t>
  </si>
  <si>
    <t>Mathematics</t>
  </si>
  <si>
    <t>Psychology</t>
  </si>
  <si>
    <t>Time (s)</t>
  </si>
  <si>
    <t>Distance (m)</t>
  </si>
  <si>
    <t>Speed (m/s)</t>
  </si>
  <si>
    <t>ID</t>
  </si>
  <si>
    <t>PU</t>
  </si>
  <si>
    <t>QTU</t>
  </si>
  <si>
    <t>PT</t>
  </si>
  <si>
    <t>Remise</t>
  </si>
  <si>
    <t>Val Remise</t>
  </si>
  <si>
    <t>Total a payer</t>
  </si>
  <si>
    <t>Totale facture:</t>
  </si>
  <si>
    <t>Val TVA:</t>
  </si>
  <si>
    <t>TVA:</t>
  </si>
  <si>
    <t>TTC:</t>
  </si>
  <si>
    <t>Étiquettes de lignes</t>
  </si>
  <si>
    <t>Total général</t>
  </si>
  <si>
    <t>Somme de Students</t>
  </si>
  <si>
    <t>Étiquettes de colonnes</t>
  </si>
  <si>
    <t>Moyenne de Students2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</si>
</sst>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DZD&quot;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8"/>
      <name val="Calibri"/>
      <family val="2"/>
      <scheme val="minor"/>
    </font>
    <font>
      <b/>
      <i/>
      <sz val="12"/>
      <color rgb="FF0070C0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3" fillId="5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0" borderId="5" xfId="0" applyFont="1" applyBorder="1" applyAlignment="1">
      <alignment horizontal="right"/>
    </xf>
    <xf numFmtId="164" fontId="8" fillId="7" borderId="6" xfId="0" applyNumberFormat="1" applyFont="1" applyFill="1" applyBorder="1"/>
    <xf numFmtId="164" fontId="6" fillId="0" borderId="3" xfId="0" applyNumberFormat="1" applyFont="1" applyBorder="1" applyAlignment="1">
      <alignment horizontal="center"/>
    </xf>
    <xf numFmtId="164" fontId="6" fillId="7" borderId="3" xfId="0" applyNumberFormat="1" applyFont="1" applyFill="1" applyBorder="1" applyAlignment="1">
      <alignment horizontal="center"/>
    </xf>
    <xf numFmtId="0" fontId="6" fillId="0" borderId="3" xfId="0" applyFont="1" applyBorder="1"/>
    <xf numFmtId="0" fontId="6" fillId="7" borderId="3" xfId="0" applyFont="1" applyFill="1" applyBorder="1"/>
    <xf numFmtId="9" fontId="6" fillId="0" borderId="3" xfId="1" applyFont="1" applyBorder="1" applyAlignment="1">
      <alignment horizontal="center"/>
    </xf>
    <xf numFmtId="9" fontId="6" fillId="7" borderId="3" xfId="1" applyFont="1" applyFill="1" applyBorder="1" applyAlignment="1">
      <alignment horizontal="center"/>
    </xf>
    <xf numFmtId="164" fontId="6" fillId="0" borderId="6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Speed/time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7482223812932484E-2"/>
          <c:y val="0.20301341270213341"/>
          <c:w val="0.90286351706036749"/>
          <c:h val="0.64042917943760158"/>
        </c:manualLayout>
      </c:layout>
      <c:lineChart>
        <c:grouping val="standard"/>
        <c:varyColors val="0"/>
        <c:ser>
          <c:idx val="0"/>
          <c:order val="0"/>
          <c:tx>
            <c:strRef>
              <c:f>Quistion4!$C$1</c:f>
              <c:strCache>
                <c:ptCount val="1"/>
                <c:pt idx="0">
                  <c:v>Speed (m/s)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Quistion4!$A$2:$A$11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Quistion4!$C$2:$C$11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08-43DA-8897-29EBA5E93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7857951"/>
        <c:axId val="1427858911"/>
      </c:lineChart>
      <c:catAx>
        <c:axId val="142785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7858911"/>
        <c:crosses val="autoZero"/>
        <c:auto val="1"/>
        <c:lblAlgn val="ctr"/>
        <c:lblOffset val="100"/>
        <c:noMultiLvlLbl val="0"/>
      </c:catAx>
      <c:valAx>
        <c:axId val="142785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785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9019661178716297"/>
          <c:y val="0.90739035206806029"/>
          <c:w val="0.25174290760967516"/>
          <c:h val="9.1693410613749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Speed/Distance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8959039319469576E-2"/>
          <c:y val="0.17387938533876951"/>
          <c:w val="0.90286351706036749"/>
          <c:h val="0.63129571261650574"/>
        </c:manualLayout>
      </c:layout>
      <c:lineChart>
        <c:grouping val="standard"/>
        <c:varyColors val="0"/>
        <c:ser>
          <c:idx val="0"/>
          <c:order val="0"/>
          <c:tx>
            <c:v>Distance(m)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Quistion4!$B$2:$B$11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49</c:v>
                </c:pt>
                <c:pt idx="6">
                  <c:v>63</c:v>
                </c:pt>
                <c:pt idx="7">
                  <c:v>75</c:v>
                </c:pt>
                <c:pt idx="8">
                  <c:v>83</c:v>
                </c:pt>
                <c:pt idx="9">
                  <c:v>91</c:v>
                </c:pt>
              </c:numCache>
            </c:numRef>
          </c:cat>
          <c:val>
            <c:numRef>
              <c:f>Quistion4!$C$2:$C$11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A5-4806-9689-5727E25E2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830815"/>
        <c:axId val="1318830335"/>
      </c:lineChart>
      <c:catAx>
        <c:axId val="131883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830335"/>
        <c:crosses val="autoZero"/>
        <c:auto val="1"/>
        <c:lblAlgn val="ctr"/>
        <c:lblOffset val="100"/>
        <c:noMultiLvlLbl val="0"/>
      </c:catAx>
      <c:valAx>
        <c:axId val="131883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883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10437999242583"/>
          <c:y val="0.89649576138588793"/>
          <c:w val="0.29322295987347952"/>
          <c:h val="0.10350423861411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46404</xdr:rowOff>
    </xdr:from>
    <xdr:to>
      <xdr:col>4</xdr:col>
      <xdr:colOff>188147</xdr:colOff>
      <xdr:row>23</xdr:row>
      <xdr:rowOff>156308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B4E6866-569D-53B2-7060-EA6419710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51837</xdr:colOff>
      <xdr:row>24</xdr:row>
      <xdr:rowOff>33839</xdr:rowOff>
    </xdr:from>
    <xdr:to>
      <xdr:col>4</xdr:col>
      <xdr:colOff>193399</xdr:colOff>
      <xdr:row>37</xdr:row>
      <xdr:rowOff>179990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60D9393C-FC88-E5C3-0ACE-B4A6CB579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7.863468171294" createdVersion="8" refreshedVersion="8" minRefreshableVersion="3" recordCount="40" xr:uid="{A7D04898-EFA3-4990-8C87-52B442B8BB69}">
  <cacheSource type="worksheet">
    <worksheetSource ref="A2:C42" sheet="Quistion1"/>
  </cacheSource>
  <cacheFields count="3">
    <cacheField name="Students" numFmtId="0">
      <sharedItems containsSemiMixedTypes="0" containsString="0" containsNumber="1" containsInteger="1" minValue="135" maxValue="9567"/>
    </cacheField>
    <cacheField name="Faculty" numFmtId="0">
      <sharedItems count="5">
        <s v="Arts"/>
        <s v="Physics"/>
        <s v="Economics"/>
        <s v="Mathematics"/>
        <s v="Psychology"/>
      </sharedItems>
    </cacheField>
    <cacheField name="University" numFmtId="0">
      <sharedItems count="8">
        <s v="Yale"/>
        <s v="Brown"/>
        <s v="Dartmouth"/>
        <s v="Harvard"/>
        <s v="Columbia"/>
        <s v="Cornell"/>
        <s v="Princeton"/>
        <s v="Penn St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7.878109722224" createdVersion="8" refreshedVersion="8" minRefreshableVersion="3" recordCount="40" xr:uid="{4EF9FF49-9B61-4640-8FA5-EE976DDA1135}">
  <cacheSource type="worksheet">
    <worksheetSource ref="A2:B42" sheet="Quistion1"/>
  </cacheSource>
  <cacheFields count="2">
    <cacheField name="Students" numFmtId="0">
      <sharedItems containsSemiMixedTypes="0" containsString="0" containsNumber="1" containsInteger="1" minValue="135" maxValue="9567"/>
    </cacheField>
    <cacheField name="Faculty" numFmtId="0">
      <sharedItems count="5">
        <s v="Arts"/>
        <s v="Physics"/>
        <s v="Economics"/>
        <s v="Mathematics"/>
        <s v="Psycholog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591"/>
    <x v="0"/>
    <x v="0"/>
  </r>
  <r>
    <n v="9567"/>
    <x v="1"/>
    <x v="1"/>
  </r>
  <r>
    <n v="542"/>
    <x v="2"/>
    <x v="2"/>
  </r>
  <r>
    <n v="346"/>
    <x v="2"/>
    <x v="3"/>
  </r>
  <r>
    <n v="849"/>
    <x v="0"/>
    <x v="4"/>
  </r>
  <r>
    <n v="552"/>
    <x v="2"/>
    <x v="5"/>
  </r>
  <r>
    <n v="173"/>
    <x v="0"/>
    <x v="3"/>
  </r>
  <r>
    <n v="1355"/>
    <x v="0"/>
    <x v="5"/>
  </r>
  <r>
    <n v="193"/>
    <x v="3"/>
    <x v="6"/>
  </r>
  <r>
    <n v="615"/>
    <x v="3"/>
    <x v="3"/>
  </r>
  <r>
    <n v="1579"/>
    <x v="3"/>
    <x v="1"/>
  </r>
  <r>
    <n v="547"/>
    <x v="1"/>
    <x v="2"/>
  </r>
  <r>
    <n v="1687"/>
    <x v="4"/>
    <x v="2"/>
  </r>
  <r>
    <n v="972"/>
    <x v="2"/>
    <x v="1"/>
  </r>
  <r>
    <n v="234"/>
    <x v="2"/>
    <x v="7"/>
  </r>
  <r>
    <n v="151"/>
    <x v="4"/>
    <x v="6"/>
  </r>
  <r>
    <n v="1793"/>
    <x v="1"/>
    <x v="4"/>
  </r>
  <r>
    <n v="315"/>
    <x v="4"/>
    <x v="4"/>
  </r>
  <r>
    <n v="618"/>
    <x v="1"/>
    <x v="5"/>
  </r>
  <r>
    <n v="246"/>
    <x v="1"/>
    <x v="0"/>
  </r>
  <r>
    <n v="784"/>
    <x v="1"/>
    <x v="6"/>
  </r>
  <r>
    <n v="316"/>
    <x v="3"/>
    <x v="2"/>
  </r>
  <r>
    <n v="3155"/>
    <x v="0"/>
    <x v="2"/>
  </r>
  <r>
    <n v="318"/>
    <x v="4"/>
    <x v="7"/>
  </r>
  <r>
    <n v="608"/>
    <x v="2"/>
    <x v="4"/>
  </r>
  <r>
    <n v="561"/>
    <x v="0"/>
    <x v="6"/>
  </r>
  <r>
    <n v="357"/>
    <x v="4"/>
    <x v="0"/>
  </r>
  <r>
    <n v="1688"/>
    <x v="3"/>
    <x v="4"/>
  </r>
  <r>
    <n v="972"/>
    <x v="2"/>
    <x v="6"/>
  </r>
  <r>
    <n v="568"/>
    <x v="1"/>
    <x v="7"/>
  </r>
  <r>
    <n v="632"/>
    <x v="3"/>
    <x v="7"/>
  </r>
  <r>
    <n v="551"/>
    <x v="4"/>
    <x v="5"/>
  </r>
  <r>
    <n v="948"/>
    <x v="1"/>
    <x v="3"/>
  </r>
  <r>
    <n v="1358"/>
    <x v="0"/>
    <x v="1"/>
  </r>
  <r>
    <n v="135"/>
    <x v="0"/>
    <x v="7"/>
  </r>
  <r>
    <n v="849"/>
    <x v="3"/>
    <x v="0"/>
  </r>
  <r>
    <n v="158"/>
    <x v="4"/>
    <x v="3"/>
  </r>
  <r>
    <n v="1889"/>
    <x v="3"/>
    <x v="5"/>
  </r>
  <r>
    <n v="651"/>
    <x v="4"/>
    <x v="1"/>
  </r>
  <r>
    <n v="651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591"/>
    <x v="0"/>
  </r>
  <r>
    <n v="9567"/>
    <x v="1"/>
  </r>
  <r>
    <n v="542"/>
    <x v="2"/>
  </r>
  <r>
    <n v="346"/>
    <x v="2"/>
  </r>
  <r>
    <n v="849"/>
    <x v="0"/>
  </r>
  <r>
    <n v="552"/>
    <x v="2"/>
  </r>
  <r>
    <n v="173"/>
    <x v="0"/>
  </r>
  <r>
    <n v="1355"/>
    <x v="0"/>
  </r>
  <r>
    <n v="193"/>
    <x v="3"/>
  </r>
  <r>
    <n v="615"/>
    <x v="3"/>
  </r>
  <r>
    <n v="1579"/>
    <x v="3"/>
  </r>
  <r>
    <n v="547"/>
    <x v="1"/>
  </r>
  <r>
    <n v="1687"/>
    <x v="4"/>
  </r>
  <r>
    <n v="972"/>
    <x v="2"/>
  </r>
  <r>
    <n v="234"/>
    <x v="2"/>
  </r>
  <r>
    <n v="151"/>
    <x v="4"/>
  </r>
  <r>
    <n v="1793"/>
    <x v="1"/>
  </r>
  <r>
    <n v="315"/>
    <x v="4"/>
  </r>
  <r>
    <n v="618"/>
    <x v="1"/>
  </r>
  <r>
    <n v="246"/>
    <x v="1"/>
  </r>
  <r>
    <n v="784"/>
    <x v="1"/>
  </r>
  <r>
    <n v="316"/>
    <x v="3"/>
  </r>
  <r>
    <n v="3155"/>
    <x v="0"/>
  </r>
  <r>
    <n v="318"/>
    <x v="4"/>
  </r>
  <r>
    <n v="608"/>
    <x v="2"/>
  </r>
  <r>
    <n v="561"/>
    <x v="0"/>
  </r>
  <r>
    <n v="357"/>
    <x v="4"/>
  </r>
  <r>
    <n v="1688"/>
    <x v="3"/>
  </r>
  <r>
    <n v="972"/>
    <x v="2"/>
  </r>
  <r>
    <n v="568"/>
    <x v="1"/>
  </r>
  <r>
    <n v="632"/>
    <x v="3"/>
  </r>
  <r>
    <n v="551"/>
    <x v="4"/>
  </r>
  <r>
    <n v="948"/>
    <x v="1"/>
  </r>
  <r>
    <n v="1358"/>
    <x v="0"/>
  </r>
  <r>
    <n v="135"/>
    <x v="0"/>
  </r>
  <r>
    <n v="849"/>
    <x v="3"/>
  </r>
  <r>
    <n v="158"/>
    <x v="4"/>
  </r>
  <r>
    <n v="1889"/>
    <x v="3"/>
  </r>
  <r>
    <n v="651"/>
    <x v="4"/>
  </r>
  <r>
    <n v="6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46546-9939-4D54-AA8F-EDBE33A10D44}" name="Tableau croisé dynamique1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3:D9" firstHeaderRow="0" firstDataRow="1" firstDataCol="1"/>
  <pivotFields count="2">
    <pivotField dataField="1" showAll="0"/>
    <pivotField axis="axisRow" showAll="0">
      <items count="6">
        <item x="0"/>
        <item x="2"/>
        <item x="3"/>
        <item x="1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tudents" fld="0" baseField="0" baseItem="0"/>
    <dataField name="Moyenne de Students2" fld="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35A99-2C0B-4DB0-A491-3CA4C0DE6716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3:D12" firstHeaderRow="0" firstDataRow="1" firstDataCol="1"/>
  <pivotFields count="3">
    <pivotField dataField="1" showAll="0"/>
    <pivotField showAll="0"/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tudents" fld="0" baseField="0" baseItem="0"/>
    <dataField name="Moyenne de Students2" fld="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448BC-BA74-4803-84F8-55CF213BB268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2:H12" firstHeaderRow="1" firstDataRow="2" firstDataCol="1"/>
  <pivotFields count="3">
    <pivotField dataField="1" showAll="0"/>
    <pivotField axis="axisCol" showAll="0">
      <items count="6">
        <item x="0"/>
        <item x="2"/>
        <item x="3"/>
        <item x="1"/>
        <item x="4"/>
        <item t="default"/>
      </items>
    </pivotField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Student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opLeftCell="A2" zoomScale="75" zoomScaleNormal="75" workbookViewId="0">
      <selection activeCell="G28" sqref="G28"/>
    </sheetView>
  </sheetViews>
  <sheetFormatPr baseColWidth="10" defaultColWidth="8.7265625" defaultRowHeight="14.5" x14ac:dyDescent="0.35"/>
  <cols>
    <col min="1" max="1" width="12" customWidth="1"/>
    <col min="2" max="2" width="11.90625" customWidth="1"/>
    <col min="3" max="3" width="12.453125" customWidth="1"/>
  </cols>
  <sheetData>
    <row r="1" spans="1:3" ht="23" customHeight="1" x14ac:dyDescent="0.6">
      <c r="A1" s="21" t="s">
        <v>0</v>
      </c>
      <c r="B1" s="21"/>
      <c r="C1" s="21"/>
    </row>
    <row r="2" spans="1:3" x14ac:dyDescent="0.35">
      <c r="A2" s="1" t="s">
        <v>3</v>
      </c>
      <c r="B2" s="1" t="s">
        <v>1</v>
      </c>
      <c r="C2" s="1" t="s">
        <v>2</v>
      </c>
    </row>
    <row r="3" spans="1:3" x14ac:dyDescent="0.35">
      <c r="A3" s="2">
        <v>591</v>
      </c>
      <c r="B3" s="2" t="s">
        <v>4</v>
      </c>
      <c r="C3" s="2" t="s">
        <v>5</v>
      </c>
    </row>
    <row r="4" spans="1:3" x14ac:dyDescent="0.35">
      <c r="A4" s="3">
        <v>9567</v>
      </c>
      <c r="B4" s="3" t="s">
        <v>6</v>
      </c>
      <c r="C4" s="3" t="s">
        <v>7</v>
      </c>
    </row>
    <row r="5" spans="1:3" x14ac:dyDescent="0.35">
      <c r="A5" s="2">
        <v>542</v>
      </c>
      <c r="B5" s="2" t="s">
        <v>8</v>
      </c>
      <c r="C5" s="2" t="s">
        <v>9</v>
      </c>
    </row>
    <row r="6" spans="1:3" x14ac:dyDescent="0.35">
      <c r="A6" s="3">
        <v>346</v>
      </c>
      <c r="B6" s="3" t="s">
        <v>8</v>
      </c>
      <c r="C6" s="3" t="s">
        <v>10</v>
      </c>
    </row>
    <row r="7" spans="1:3" x14ac:dyDescent="0.35">
      <c r="A7" s="2">
        <v>849</v>
      </c>
      <c r="B7" s="2" t="s">
        <v>4</v>
      </c>
      <c r="C7" s="2" t="s">
        <v>14</v>
      </c>
    </row>
    <row r="8" spans="1:3" x14ac:dyDescent="0.35">
      <c r="A8" s="3">
        <v>552</v>
      </c>
      <c r="B8" s="3" t="s">
        <v>8</v>
      </c>
      <c r="C8" s="3" t="s">
        <v>11</v>
      </c>
    </row>
    <row r="9" spans="1:3" x14ac:dyDescent="0.35">
      <c r="A9" s="2">
        <v>173</v>
      </c>
      <c r="B9" s="2" t="s">
        <v>4</v>
      </c>
      <c r="C9" s="2" t="s">
        <v>10</v>
      </c>
    </row>
    <row r="10" spans="1:3" x14ac:dyDescent="0.35">
      <c r="A10" s="3">
        <v>1355</v>
      </c>
      <c r="B10" s="3" t="s">
        <v>4</v>
      </c>
      <c r="C10" s="3" t="s">
        <v>11</v>
      </c>
    </row>
    <row r="11" spans="1:3" x14ac:dyDescent="0.35">
      <c r="A11" s="2">
        <v>193</v>
      </c>
      <c r="B11" s="2" t="s">
        <v>15</v>
      </c>
      <c r="C11" s="2" t="s">
        <v>12</v>
      </c>
    </row>
    <row r="12" spans="1:3" x14ac:dyDescent="0.35">
      <c r="A12" s="3">
        <v>615</v>
      </c>
      <c r="B12" s="3" t="s">
        <v>15</v>
      </c>
      <c r="C12" s="3" t="s">
        <v>10</v>
      </c>
    </row>
    <row r="13" spans="1:3" x14ac:dyDescent="0.35">
      <c r="A13" s="2">
        <v>1579</v>
      </c>
      <c r="B13" s="2" t="s">
        <v>15</v>
      </c>
      <c r="C13" s="2" t="s">
        <v>7</v>
      </c>
    </row>
    <row r="14" spans="1:3" x14ac:dyDescent="0.35">
      <c r="A14" s="3">
        <v>547</v>
      </c>
      <c r="B14" s="3" t="s">
        <v>6</v>
      </c>
      <c r="C14" s="3" t="s">
        <v>9</v>
      </c>
    </row>
    <row r="15" spans="1:3" x14ac:dyDescent="0.35">
      <c r="A15" s="2">
        <v>1687</v>
      </c>
      <c r="B15" s="2" t="s">
        <v>16</v>
      </c>
      <c r="C15" s="2" t="s">
        <v>9</v>
      </c>
    </row>
    <row r="16" spans="1:3" x14ac:dyDescent="0.35">
      <c r="A16" s="3">
        <v>972</v>
      </c>
      <c r="B16" s="3" t="s">
        <v>8</v>
      </c>
      <c r="C16" s="3" t="s">
        <v>7</v>
      </c>
    </row>
    <row r="17" spans="1:3" x14ac:dyDescent="0.35">
      <c r="A17" s="2">
        <v>234</v>
      </c>
      <c r="B17" s="2" t="s">
        <v>8</v>
      </c>
      <c r="C17" s="2" t="s">
        <v>13</v>
      </c>
    </row>
    <row r="18" spans="1:3" x14ac:dyDescent="0.35">
      <c r="A18" s="3">
        <v>151</v>
      </c>
      <c r="B18" s="3" t="s">
        <v>16</v>
      </c>
      <c r="C18" s="3" t="s">
        <v>12</v>
      </c>
    </row>
    <row r="19" spans="1:3" x14ac:dyDescent="0.35">
      <c r="A19" s="2">
        <v>1793</v>
      </c>
      <c r="B19" s="2" t="s">
        <v>6</v>
      </c>
      <c r="C19" s="2" t="s">
        <v>14</v>
      </c>
    </row>
    <row r="20" spans="1:3" x14ac:dyDescent="0.35">
      <c r="A20" s="3">
        <v>315</v>
      </c>
      <c r="B20" s="3" t="s">
        <v>16</v>
      </c>
      <c r="C20" s="3" t="s">
        <v>14</v>
      </c>
    </row>
    <row r="21" spans="1:3" x14ac:dyDescent="0.35">
      <c r="A21" s="2">
        <v>618</v>
      </c>
      <c r="B21" s="2" t="s">
        <v>6</v>
      </c>
      <c r="C21" s="2" t="s">
        <v>11</v>
      </c>
    </row>
    <row r="22" spans="1:3" x14ac:dyDescent="0.35">
      <c r="A22" s="3">
        <v>246</v>
      </c>
      <c r="B22" s="3" t="s">
        <v>6</v>
      </c>
      <c r="C22" s="3" t="s">
        <v>5</v>
      </c>
    </row>
    <row r="23" spans="1:3" x14ac:dyDescent="0.35">
      <c r="A23" s="2">
        <v>784</v>
      </c>
      <c r="B23" s="2" t="s">
        <v>6</v>
      </c>
      <c r="C23" s="2" t="s">
        <v>12</v>
      </c>
    </row>
    <row r="24" spans="1:3" x14ac:dyDescent="0.35">
      <c r="A24" s="3">
        <v>316</v>
      </c>
      <c r="B24" s="3" t="s">
        <v>15</v>
      </c>
      <c r="C24" s="3" t="s">
        <v>9</v>
      </c>
    </row>
    <row r="25" spans="1:3" x14ac:dyDescent="0.35">
      <c r="A25" s="2">
        <v>3155</v>
      </c>
      <c r="B25" s="2" t="s">
        <v>4</v>
      </c>
      <c r="C25" s="2" t="s">
        <v>9</v>
      </c>
    </row>
    <row r="26" spans="1:3" x14ac:dyDescent="0.35">
      <c r="A26" s="3">
        <v>318</v>
      </c>
      <c r="B26" s="3" t="s">
        <v>16</v>
      </c>
      <c r="C26" s="3" t="s">
        <v>13</v>
      </c>
    </row>
    <row r="27" spans="1:3" x14ac:dyDescent="0.35">
      <c r="A27" s="2">
        <v>608</v>
      </c>
      <c r="B27" s="2" t="s">
        <v>8</v>
      </c>
      <c r="C27" s="2" t="s">
        <v>14</v>
      </c>
    </row>
    <row r="28" spans="1:3" x14ac:dyDescent="0.35">
      <c r="A28" s="3">
        <v>561</v>
      </c>
      <c r="B28" s="3" t="s">
        <v>4</v>
      </c>
      <c r="C28" s="3" t="s">
        <v>12</v>
      </c>
    </row>
    <row r="29" spans="1:3" x14ac:dyDescent="0.35">
      <c r="A29" s="2">
        <v>357</v>
      </c>
      <c r="B29" s="2" t="s">
        <v>16</v>
      </c>
      <c r="C29" s="2" t="s">
        <v>5</v>
      </c>
    </row>
    <row r="30" spans="1:3" x14ac:dyDescent="0.35">
      <c r="A30" s="3">
        <v>1688</v>
      </c>
      <c r="B30" s="3" t="s">
        <v>15</v>
      </c>
      <c r="C30" s="3" t="s">
        <v>14</v>
      </c>
    </row>
    <row r="31" spans="1:3" x14ac:dyDescent="0.35">
      <c r="A31" s="2">
        <v>972</v>
      </c>
      <c r="B31" s="2" t="s">
        <v>8</v>
      </c>
      <c r="C31" s="2" t="s">
        <v>12</v>
      </c>
    </row>
    <row r="32" spans="1:3" x14ac:dyDescent="0.35">
      <c r="A32" s="3">
        <v>568</v>
      </c>
      <c r="B32" s="3" t="s">
        <v>6</v>
      </c>
      <c r="C32" s="3" t="s">
        <v>13</v>
      </c>
    </row>
    <row r="33" spans="1:3" x14ac:dyDescent="0.35">
      <c r="A33" s="2">
        <v>632</v>
      </c>
      <c r="B33" s="2" t="s">
        <v>15</v>
      </c>
      <c r="C33" s="2" t="s">
        <v>13</v>
      </c>
    </row>
    <row r="34" spans="1:3" x14ac:dyDescent="0.35">
      <c r="A34" s="3">
        <v>551</v>
      </c>
      <c r="B34" s="3" t="s">
        <v>16</v>
      </c>
      <c r="C34" s="3" t="s">
        <v>11</v>
      </c>
    </row>
    <row r="35" spans="1:3" x14ac:dyDescent="0.35">
      <c r="A35" s="2">
        <v>948</v>
      </c>
      <c r="B35" s="2" t="s">
        <v>6</v>
      </c>
      <c r="C35" s="2" t="s">
        <v>10</v>
      </c>
    </row>
    <row r="36" spans="1:3" x14ac:dyDescent="0.35">
      <c r="A36" s="3">
        <v>1358</v>
      </c>
      <c r="B36" s="3" t="s">
        <v>4</v>
      </c>
      <c r="C36" s="3" t="s">
        <v>7</v>
      </c>
    </row>
    <row r="37" spans="1:3" x14ac:dyDescent="0.35">
      <c r="A37" s="2">
        <v>135</v>
      </c>
      <c r="B37" s="2" t="s">
        <v>4</v>
      </c>
      <c r="C37" s="2" t="s">
        <v>13</v>
      </c>
    </row>
    <row r="38" spans="1:3" x14ac:dyDescent="0.35">
      <c r="A38" s="3">
        <v>849</v>
      </c>
      <c r="B38" s="3" t="s">
        <v>15</v>
      </c>
      <c r="C38" s="3" t="s">
        <v>5</v>
      </c>
    </row>
    <row r="39" spans="1:3" x14ac:dyDescent="0.35">
      <c r="A39" s="2">
        <v>158</v>
      </c>
      <c r="B39" s="2" t="s">
        <v>16</v>
      </c>
      <c r="C39" s="2" t="s">
        <v>10</v>
      </c>
    </row>
    <row r="40" spans="1:3" x14ac:dyDescent="0.35">
      <c r="A40" s="3">
        <v>1889</v>
      </c>
      <c r="B40" s="3" t="s">
        <v>15</v>
      </c>
      <c r="C40" s="3" t="s">
        <v>11</v>
      </c>
    </row>
    <row r="41" spans="1:3" x14ac:dyDescent="0.35">
      <c r="A41" s="2">
        <v>651</v>
      </c>
      <c r="B41" s="2" t="s">
        <v>16</v>
      </c>
      <c r="C41" s="2" t="s">
        <v>7</v>
      </c>
    </row>
    <row r="42" spans="1:3" x14ac:dyDescent="0.35">
      <c r="A42" s="3">
        <v>651</v>
      </c>
      <c r="B42" s="3" t="s">
        <v>8</v>
      </c>
      <c r="C42" s="3" t="s">
        <v>5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6668-8B9D-4162-BA6C-226FA278F11A}">
  <dimension ref="B3:D9"/>
  <sheetViews>
    <sheetView workbookViewId="0">
      <selection activeCell="F17" sqref="F17"/>
    </sheetView>
  </sheetViews>
  <sheetFormatPr baseColWidth="10" defaultRowHeight="14.5" x14ac:dyDescent="0.35"/>
  <cols>
    <col min="1" max="1" width="20.26953125" bestFit="1" customWidth="1"/>
    <col min="2" max="2" width="19.54296875" bestFit="1" customWidth="1"/>
    <col min="3" max="3" width="17.6328125" bestFit="1" customWidth="1"/>
    <col min="4" max="4" width="20.26953125" bestFit="1" customWidth="1"/>
  </cols>
  <sheetData>
    <row r="3" spans="2:4" x14ac:dyDescent="0.35">
      <c r="B3" s="18" t="s">
        <v>31</v>
      </c>
      <c r="C3" t="s">
        <v>33</v>
      </c>
      <c r="D3" t="s">
        <v>35</v>
      </c>
    </row>
    <row r="4" spans="2:4" x14ac:dyDescent="0.35">
      <c r="B4" s="19" t="s">
        <v>4</v>
      </c>
      <c r="C4" s="20">
        <v>8177</v>
      </c>
      <c r="D4" s="20">
        <v>1022.125</v>
      </c>
    </row>
    <row r="5" spans="2:4" x14ac:dyDescent="0.35">
      <c r="B5" s="19" t="s">
        <v>8</v>
      </c>
      <c r="C5" s="20">
        <v>4877</v>
      </c>
      <c r="D5" s="20">
        <v>609.625</v>
      </c>
    </row>
    <row r="6" spans="2:4" x14ac:dyDescent="0.35">
      <c r="B6" s="19" t="s">
        <v>15</v>
      </c>
      <c r="C6" s="20">
        <v>7761</v>
      </c>
      <c r="D6" s="20">
        <v>970.125</v>
      </c>
    </row>
    <row r="7" spans="2:4" x14ac:dyDescent="0.35">
      <c r="B7" s="19" t="s">
        <v>6</v>
      </c>
      <c r="C7" s="20">
        <v>15071</v>
      </c>
      <c r="D7" s="20">
        <v>1883.875</v>
      </c>
    </row>
    <row r="8" spans="2:4" x14ac:dyDescent="0.35">
      <c r="B8" s="19" t="s">
        <v>16</v>
      </c>
      <c r="C8" s="20">
        <v>4188</v>
      </c>
      <c r="D8" s="20">
        <v>523.5</v>
      </c>
    </row>
    <row r="9" spans="2:4" x14ac:dyDescent="0.35">
      <c r="B9" s="19" t="s">
        <v>32</v>
      </c>
      <c r="C9" s="20">
        <v>40074</v>
      </c>
      <c r="D9" s="20">
        <v>1001.85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8873-5FF4-416C-AD0E-7211CA590CC9}">
  <dimension ref="B3:D12"/>
  <sheetViews>
    <sheetView workbookViewId="0">
      <selection activeCell="B3" sqref="B3"/>
    </sheetView>
  </sheetViews>
  <sheetFormatPr baseColWidth="10" defaultRowHeight="14.5" x14ac:dyDescent="0.35"/>
  <cols>
    <col min="2" max="2" width="19.54296875" bestFit="1" customWidth="1"/>
    <col min="3" max="3" width="17.6328125" bestFit="1" customWidth="1"/>
    <col min="4" max="4" width="20.26953125" bestFit="1" customWidth="1"/>
  </cols>
  <sheetData>
    <row r="3" spans="2:4" x14ac:dyDescent="0.35">
      <c r="B3" s="18" t="s">
        <v>31</v>
      </c>
      <c r="C3" t="s">
        <v>33</v>
      </c>
      <c r="D3" t="s">
        <v>35</v>
      </c>
    </row>
    <row r="4" spans="2:4" x14ac:dyDescent="0.35">
      <c r="B4" s="19" t="s">
        <v>7</v>
      </c>
      <c r="C4" s="20">
        <v>14127</v>
      </c>
      <c r="D4" s="20">
        <v>2825.4</v>
      </c>
    </row>
    <row r="5" spans="2:4" x14ac:dyDescent="0.35">
      <c r="B5" s="19" t="s">
        <v>14</v>
      </c>
      <c r="C5" s="20">
        <v>5253</v>
      </c>
      <c r="D5" s="20">
        <v>1050.5999999999999</v>
      </c>
    </row>
    <row r="6" spans="2:4" x14ac:dyDescent="0.35">
      <c r="B6" s="19" t="s">
        <v>11</v>
      </c>
      <c r="C6" s="20">
        <v>4965</v>
      </c>
      <c r="D6" s="20">
        <v>993</v>
      </c>
    </row>
    <row r="7" spans="2:4" x14ac:dyDescent="0.35">
      <c r="B7" s="19" t="s">
        <v>9</v>
      </c>
      <c r="C7" s="20">
        <v>6247</v>
      </c>
      <c r="D7" s="20">
        <v>1249.4000000000001</v>
      </c>
    </row>
    <row r="8" spans="2:4" x14ac:dyDescent="0.35">
      <c r="B8" s="19" t="s">
        <v>10</v>
      </c>
      <c r="C8" s="20">
        <v>2240</v>
      </c>
      <c r="D8" s="20">
        <v>448</v>
      </c>
    </row>
    <row r="9" spans="2:4" x14ac:dyDescent="0.35">
      <c r="B9" s="19" t="s">
        <v>13</v>
      </c>
      <c r="C9" s="20">
        <v>1887</v>
      </c>
      <c r="D9" s="20">
        <v>377.4</v>
      </c>
    </row>
    <row r="10" spans="2:4" x14ac:dyDescent="0.35">
      <c r="B10" s="19" t="s">
        <v>12</v>
      </c>
      <c r="C10" s="20">
        <v>2661</v>
      </c>
      <c r="D10" s="20">
        <v>532.20000000000005</v>
      </c>
    </row>
    <row r="11" spans="2:4" x14ac:dyDescent="0.35">
      <c r="B11" s="19" t="s">
        <v>5</v>
      </c>
      <c r="C11" s="20">
        <v>2694</v>
      </c>
      <c r="D11" s="20">
        <v>538.79999999999995</v>
      </c>
    </row>
    <row r="12" spans="2:4" x14ac:dyDescent="0.35">
      <c r="B12" s="19" t="s">
        <v>32</v>
      </c>
      <c r="C12" s="20">
        <v>40074</v>
      </c>
      <c r="D12" s="20">
        <v>1001.85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ED6A-A1A6-40E1-838B-CC7F2A0DEF7B}">
  <dimension ref="B2:H12"/>
  <sheetViews>
    <sheetView workbookViewId="0">
      <selection activeCell="D16" sqref="D16"/>
    </sheetView>
  </sheetViews>
  <sheetFormatPr baseColWidth="10" defaultRowHeight="14.5" x14ac:dyDescent="0.35"/>
  <cols>
    <col min="2" max="2" width="19.54296875" bestFit="1" customWidth="1"/>
    <col min="3" max="3" width="22.26953125" bestFit="1" customWidth="1"/>
    <col min="4" max="4" width="9.6328125" bestFit="1" customWidth="1"/>
    <col min="5" max="5" width="11.81640625" bestFit="1" customWidth="1"/>
    <col min="6" max="6" width="6.81640625" bestFit="1" customWidth="1"/>
    <col min="7" max="7" width="10" bestFit="1" customWidth="1"/>
    <col min="8" max="8" width="11.7265625" bestFit="1" customWidth="1"/>
    <col min="9" max="9" width="8.90625" bestFit="1" customWidth="1"/>
    <col min="10" max="10" width="4.81640625" bestFit="1" customWidth="1"/>
    <col min="11" max="11" width="11.7265625" bestFit="1" customWidth="1"/>
  </cols>
  <sheetData>
    <row r="2" spans="2:8" x14ac:dyDescent="0.35">
      <c r="B2" s="18" t="s">
        <v>33</v>
      </c>
      <c r="C2" s="18" t="s">
        <v>34</v>
      </c>
    </row>
    <row r="3" spans="2:8" x14ac:dyDescent="0.35">
      <c r="B3" s="18" t="s">
        <v>31</v>
      </c>
      <c r="C3" t="s">
        <v>4</v>
      </c>
      <c r="D3" t="s">
        <v>8</v>
      </c>
      <c r="E3" t="s">
        <v>15</v>
      </c>
      <c r="F3" t="s">
        <v>6</v>
      </c>
      <c r="G3" t="s">
        <v>16</v>
      </c>
      <c r="H3" t="s">
        <v>32</v>
      </c>
    </row>
    <row r="4" spans="2:8" x14ac:dyDescent="0.35">
      <c r="B4" s="19" t="s">
        <v>7</v>
      </c>
      <c r="C4" s="20">
        <v>1358</v>
      </c>
      <c r="D4" s="20">
        <v>972</v>
      </c>
      <c r="E4" s="20">
        <v>1579</v>
      </c>
      <c r="F4" s="20">
        <v>9567</v>
      </c>
      <c r="G4" s="20">
        <v>651</v>
      </c>
      <c r="H4" s="20">
        <v>14127</v>
      </c>
    </row>
    <row r="5" spans="2:8" x14ac:dyDescent="0.35">
      <c r="B5" s="19" t="s">
        <v>14</v>
      </c>
      <c r="C5" s="20">
        <v>849</v>
      </c>
      <c r="D5" s="20">
        <v>608</v>
      </c>
      <c r="E5" s="20">
        <v>1688</v>
      </c>
      <c r="F5" s="20">
        <v>1793</v>
      </c>
      <c r="G5" s="20">
        <v>315</v>
      </c>
      <c r="H5" s="20">
        <v>5253</v>
      </c>
    </row>
    <row r="6" spans="2:8" x14ac:dyDescent="0.35">
      <c r="B6" s="19" t="s">
        <v>11</v>
      </c>
      <c r="C6" s="20">
        <v>1355</v>
      </c>
      <c r="D6" s="20">
        <v>552</v>
      </c>
      <c r="E6" s="20">
        <v>1889</v>
      </c>
      <c r="F6" s="20">
        <v>618</v>
      </c>
      <c r="G6" s="20">
        <v>551</v>
      </c>
      <c r="H6" s="20">
        <v>4965</v>
      </c>
    </row>
    <row r="7" spans="2:8" x14ac:dyDescent="0.35">
      <c r="B7" s="19" t="s">
        <v>9</v>
      </c>
      <c r="C7" s="20">
        <v>3155</v>
      </c>
      <c r="D7" s="20">
        <v>542</v>
      </c>
      <c r="E7" s="20">
        <v>316</v>
      </c>
      <c r="F7" s="20">
        <v>547</v>
      </c>
      <c r="G7" s="20">
        <v>1687</v>
      </c>
      <c r="H7" s="20">
        <v>6247</v>
      </c>
    </row>
    <row r="8" spans="2:8" x14ac:dyDescent="0.35">
      <c r="B8" s="19" t="s">
        <v>10</v>
      </c>
      <c r="C8" s="20">
        <v>173</v>
      </c>
      <c r="D8" s="20">
        <v>346</v>
      </c>
      <c r="E8" s="20">
        <v>615</v>
      </c>
      <c r="F8" s="20">
        <v>948</v>
      </c>
      <c r="G8" s="20">
        <v>158</v>
      </c>
      <c r="H8" s="20">
        <v>2240</v>
      </c>
    </row>
    <row r="9" spans="2:8" x14ac:dyDescent="0.35">
      <c r="B9" s="19" t="s">
        <v>13</v>
      </c>
      <c r="C9" s="20">
        <v>135</v>
      </c>
      <c r="D9" s="20">
        <v>234</v>
      </c>
      <c r="E9" s="20">
        <v>632</v>
      </c>
      <c r="F9" s="20">
        <v>568</v>
      </c>
      <c r="G9" s="20">
        <v>318</v>
      </c>
      <c r="H9" s="20">
        <v>1887</v>
      </c>
    </row>
    <row r="10" spans="2:8" x14ac:dyDescent="0.35">
      <c r="B10" s="19" t="s">
        <v>12</v>
      </c>
      <c r="C10" s="20">
        <v>561</v>
      </c>
      <c r="D10" s="20">
        <v>972</v>
      </c>
      <c r="E10" s="20">
        <v>193</v>
      </c>
      <c r="F10" s="20">
        <v>784</v>
      </c>
      <c r="G10" s="20">
        <v>151</v>
      </c>
      <c r="H10" s="20">
        <v>2661</v>
      </c>
    </row>
    <row r="11" spans="2:8" x14ac:dyDescent="0.35">
      <c r="B11" s="19" t="s">
        <v>5</v>
      </c>
      <c r="C11" s="20">
        <v>591</v>
      </c>
      <c r="D11" s="20">
        <v>651</v>
      </c>
      <c r="E11" s="20">
        <v>849</v>
      </c>
      <c r="F11" s="20">
        <v>246</v>
      </c>
      <c r="G11" s="20">
        <v>357</v>
      </c>
      <c r="H11" s="20">
        <v>2694</v>
      </c>
    </row>
    <row r="12" spans="2:8" x14ac:dyDescent="0.35">
      <c r="B12" s="19" t="s">
        <v>32</v>
      </c>
      <c r="C12" s="20">
        <v>8177</v>
      </c>
      <c r="D12" s="20">
        <v>4877</v>
      </c>
      <c r="E12" s="20">
        <v>7761</v>
      </c>
      <c r="F12" s="20">
        <v>15071</v>
      </c>
      <c r="G12" s="20">
        <v>4188</v>
      </c>
      <c r="H12" s="20">
        <v>40074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B0CD-F3BE-4178-96B7-370A42C8DAE5}">
  <dimension ref="A1:G20"/>
  <sheetViews>
    <sheetView zoomScale="92" zoomScaleNormal="92" workbookViewId="0">
      <selection activeCell="K8" sqref="K8"/>
    </sheetView>
  </sheetViews>
  <sheetFormatPr baseColWidth="10" defaultRowHeight="14.5" x14ac:dyDescent="0.35"/>
  <cols>
    <col min="2" max="2" width="15.1796875" customWidth="1"/>
    <col min="4" max="4" width="15.90625" customWidth="1"/>
    <col min="6" max="6" width="15" customWidth="1"/>
    <col min="7" max="7" width="19" customWidth="1"/>
  </cols>
  <sheetData>
    <row r="1" spans="1:7" x14ac:dyDescent="0.3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</row>
    <row r="2" spans="1:7" x14ac:dyDescent="0.35">
      <c r="A2" s="13">
        <v>1</v>
      </c>
      <c r="B2" s="11">
        <v>120</v>
      </c>
      <c r="C2" s="13">
        <v>3</v>
      </c>
      <c r="D2" s="11">
        <f>B2*C2</f>
        <v>360</v>
      </c>
      <c r="E2" s="15">
        <f>IF(D2&gt;=1000,10%,IF(D2&gt;=100,5%,0%))</f>
        <v>0.05</v>
      </c>
      <c r="F2" s="11">
        <f>D2*E2</f>
        <v>18</v>
      </c>
      <c r="G2" s="11">
        <f>D2-F2</f>
        <v>342</v>
      </c>
    </row>
    <row r="3" spans="1:7" x14ac:dyDescent="0.35">
      <c r="A3" s="14">
        <v>2</v>
      </c>
      <c r="B3" s="12">
        <v>56</v>
      </c>
      <c r="C3" s="14">
        <v>5</v>
      </c>
      <c r="D3" s="12">
        <f t="shared" ref="D3:D15" si="0">B3*C3</f>
        <v>280</v>
      </c>
      <c r="E3" s="16">
        <f t="shared" ref="E3:E15" si="1">IF(D3&gt;=1000,10%,IF(D3&gt;=100,5%,0%))</f>
        <v>0.05</v>
      </c>
      <c r="F3" s="12">
        <f>D3*E3</f>
        <v>14</v>
      </c>
      <c r="G3" s="12">
        <f>D3-F3</f>
        <v>266</v>
      </c>
    </row>
    <row r="4" spans="1:7" x14ac:dyDescent="0.35">
      <c r="A4" s="13">
        <v>3</v>
      </c>
      <c r="B4" s="11">
        <v>70</v>
      </c>
      <c r="C4" s="13">
        <v>2</v>
      </c>
      <c r="D4" s="11">
        <f t="shared" si="0"/>
        <v>140</v>
      </c>
      <c r="E4" s="15">
        <f t="shared" si="1"/>
        <v>0.05</v>
      </c>
      <c r="F4" s="11">
        <f t="shared" ref="F4:F15" si="2">D4*E4</f>
        <v>7</v>
      </c>
      <c r="G4" s="11">
        <f t="shared" ref="G4:G15" si="3">D4-F4</f>
        <v>133</v>
      </c>
    </row>
    <row r="5" spans="1:7" x14ac:dyDescent="0.35">
      <c r="A5" s="14">
        <v>4</v>
      </c>
      <c r="B5" s="12">
        <v>430</v>
      </c>
      <c r="C5" s="14">
        <v>7</v>
      </c>
      <c r="D5" s="12">
        <f t="shared" si="0"/>
        <v>3010</v>
      </c>
      <c r="E5" s="16">
        <f t="shared" si="1"/>
        <v>0.1</v>
      </c>
      <c r="F5" s="12">
        <f t="shared" si="2"/>
        <v>301</v>
      </c>
      <c r="G5" s="12">
        <f t="shared" si="3"/>
        <v>2709</v>
      </c>
    </row>
    <row r="6" spans="1:7" x14ac:dyDescent="0.35">
      <c r="A6" s="13">
        <v>5</v>
      </c>
      <c r="B6" s="11">
        <v>230</v>
      </c>
      <c r="C6" s="13">
        <v>23</v>
      </c>
      <c r="D6" s="11">
        <f t="shared" si="0"/>
        <v>5290</v>
      </c>
      <c r="E6" s="15">
        <f t="shared" si="1"/>
        <v>0.1</v>
      </c>
      <c r="F6" s="11">
        <f t="shared" si="2"/>
        <v>529</v>
      </c>
      <c r="G6" s="11">
        <f t="shared" si="3"/>
        <v>4761</v>
      </c>
    </row>
    <row r="7" spans="1:7" x14ac:dyDescent="0.35">
      <c r="A7" s="14">
        <v>6</v>
      </c>
      <c r="B7" s="12">
        <v>10</v>
      </c>
      <c r="C7" s="14">
        <v>2</v>
      </c>
      <c r="D7" s="12">
        <f t="shared" si="0"/>
        <v>20</v>
      </c>
      <c r="E7" s="16">
        <f t="shared" si="1"/>
        <v>0</v>
      </c>
      <c r="F7" s="12">
        <f t="shared" si="2"/>
        <v>0</v>
      </c>
      <c r="G7" s="12">
        <f t="shared" si="3"/>
        <v>20</v>
      </c>
    </row>
    <row r="8" spans="1:7" x14ac:dyDescent="0.35">
      <c r="A8" s="13">
        <v>7</v>
      </c>
      <c r="B8" s="11">
        <v>5</v>
      </c>
      <c r="C8" s="13">
        <v>8</v>
      </c>
      <c r="D8" s="11">
        <f t="shared" si="0"/>
        <v>40</v>
      </c>
      <c r="E8" s="15">
        <f t="shared" si="1"/>
        <v>0</v>
      </c>
      <c r="F8" s="11">
        <f t="shared" si="2"/>
        <v>0</v>
      </c>
      <c r="G8" s="11">
        <f t="shared" si="3"/>
        <v>40</v>
      </c>
    </row>
    <row r="9" spans="1:7" x14ac:dyDescent="0.35">
      <c r="A9" s="14">
        <v>8</v>
      </c>
      <c r="B9" s="12">
        <v>5040</v>
      </c>
      <c r="C9" s="14">
        <v>1</v>
      </c>
      <c r="D9" s="12">
        <f t="shared" si="0"/>
        <v>5040</v>
      </c>
      <c r="E9" s="16">
        <f t="shared" si="1"/>
        <v>0.1</v>
      </c>
      <c r="F9" s="12">
        <f t="shared" si="2"/>
        <v>504</v>
      </c>
      <c r="G9" s="12">
        <f t="shared" si="3"/>
        <v>4536</v>
      </c>
    </row>
    <row r="10" spans="1:7" x14ac:dyDescent="0.35">
      <c r="A10" s="13">
        <v>9</v>
      </c>
      <c r="B10" s="11">
        <v>1200</v>
      </c>
      <c r="C10" s="13">
        <v>3</v>
      </c>
      <c r="D10" s="11">
        <f t="shared" si="0"/>
        <v>3600</v>
      </c>
      <c r="E10" s="15">
        <f t="shared" si="1"/>
        <v>0.1</v>
      </c>
      <c r="F10" s="11">
        <f t="shared" si="2"/>
        <v>360</v>
      </c>
      <c r="G10" s="11">
        <f t="shared" si="3"/>
        <v>3240</v>
      </c>
    </row>
    <row r="11" spans="1:7" x14ac:dyDescent="0.35">
      <c r="A11" s="14">
        <v>10</v>
      </c>
      <c r="B11" s="12">
        <v>480</v>
      </c>
      <c r="C11" s="14">
        <v>4</v>
      </c>
      <c r="D11" s="12">
        <f t="shared" si="0"/>
        <v>1920</v>
      </c>
      <c r="E11" s="16">
        <f t="shared" si="1"/>
        <v>0.1</v>
      </c>
      <c r="F11" s="12">
        <f t="shared" si="2"/>
        <v>192</v>
      </c>
      <c r="G11" s="12">
        <f t="shared" si="3"/>
        <v>1728</v>
      </c>
    </row>
    <row r="12" spans="1:7" x14ac:dyDescent="0.35">
      <c r="A12" s="13">
        <v>11</v>
      </c>
      <c r="B12" s="11">
        <v>33</v>
      </c>
      <c r="C12" s="13">
        <v>5</v>
      </c>
      <c r="D12" s="11">
        <f t="shared" si="0"/>
        <v>165</v>
      </c>
      <c r="E12" s="15">
        <f t="shared" si="1"/>
        <v>0.05</v>
      </c>
      <c r="F12" s="11">
        <f t="shared" si="2"/>
        <v>8.25</v>
      </c>
      <c r="G12" s="11">
        <f t="shared" si="3"/>
        <v>156.75</v>
      </c>
    </row>
    <row r="13" spans="1:7" x14ac:dyDescent="0.35">
      <c r="A13" s="14">
        <v>12</v>
      </c>
      <c r="B13" s="12">
        <v>1200</v>
      </c>
      <c r="C13" s="14">
        <v>2</v>
      </c>
      <c r="D13" s="12">
        <f t="shared" si="0"/>
        <v>2400</v>
      </c>
      <c r="E13" s="16">
        <f t="shared" si="1"/>
        <v>0.1</v>
      </c>
      <c r="F13" s="12">
        <f t="shared" si="2"/>
        <v>240</v>
      </c>
      <c r="G13" s="12">
        <f t="shared" si="3"/>
        <v>2160</v>
      </c>
    </row>
    <row r="14" spans="1:7" x14ac:dyDescent="0.35">
      <c r="A14" s="13">
        <v>13</v>
      </c>
      <c r="B14" s="11">
        <v>15</v>
      </c>
      <c r="C14" s="13">
        <v>10</v>
      </c>
      <c r="D14" s="11">
        <f t="shared" si="0"/>
        <v>150</v>
      </c>
      <c r="E14" s="15">
        <f t="shared" si="1"/>
        <v>0.05</v>
      </c>
      <c r="F14" s="11">
        <f t="shared" si="2"/>
        <v>7.5</v>
      </c>
      <c r="G14" s="11">
        <f t="shared" si="3"/>
        <v>142.5</v>
      </c>
    </row>
    <row r="15" spans="1:7" x14ac:dyDescent="0.35">
      <c r="A15" s="14">
        <v>14</v>
      </c>
      <c r="B15" s="12">
        <v>24</v>
      </c>
      <c r="C15" s="14">
        <v>5</v>
      </c>
      <c r="D15" s="12">
        <f t="shared" si="0"/>
        <v>120</v>
      </c>
      <c r="E15" s="16">
        <f t="shared" si="1"/>
        <v>0.05</v>
      </c>
      <c r="F15" s="12">
        <f t="shared" si="2"/>
        <v>6</v>
      </c>
      <c r="G15" s="12">
        <f t="shared" si="3"/>
        <v>114</v>
      </c>
    </row>
    <row r="17" spans="6:7" x14ac:dyDescent="0.35">
      <c r="F17" s="9" t="s">
        <v>27</v>
      </c>
      <c r="G17" s="17">
        <f>SUM(G2:G15)</f>
        <v>20348.25</v>
      </c>
    </row>
    <row r="18" spans="6:7" x14ac:dyDescent="0.35">
      <c r="F18" s="9" t="s">
        <v>29</v>
      </c>
      <c r="G18" s="17">
        <v>0.19</v>
      </c>
    </row>
    <row r="19" spans="6:7" x14ac:dyDescent="0.35">
      <c r="F19" s="9" t="s">
        <v>28</v>
      </c>
      <c r="G19" s="17">
        <f>G17*G18</f>
        <v>3866.1675</v>
      </c>
    </row>
    <row r="20" spans="6:7" ht="16" x14ac:dyDescent="0.4">
      <c r="F20" s="9" t="s">
        <v>30</v>
      </c>
      <c r="G20" s="10">
        <f>G17+G19</f>
        <v>24214.4175</v>
      </c>
    </row>
  </sheetData>
  <phoneticPr fontId="7" type="noConversion"/>
  <pageMargins left="0.7" right="0.7" top="0.75" bottom="0.75" header="0.3" footer="0.3"/>
  <ignoredErrors>
    <ignoredError sqref="E2:E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2AA7-DE0D-4AAA-8CEE-4FC824DA36B2}">
  <dimension ref="A1:C11"/>
  <sheetViews>
    <sheetView tabSelected="1" zoomScale="49" zoomScaleNormal="49" workbookViewId="0">
      <selection activeCell="K52" sqref="K52"/>
    </sheetView>
  </sheetViews>
  <sheetFormatPr baseColWidth="10" defaultRowHeight="14.5" x14ac:dyDescent="0.35"/>
  <cols>
    <col min="1" max="1" width="12.26953125" customWidth="1"/>
    <col min="2" max="2" width="13.81640625" customWidth="1"/>
    <col min="3" max="3" width="14.54296875" customWidth="1"/>
  </cols>
  <sheetData>
    <row r="1" spans="1:3" x14ac:dyDescent="0.35">
      <c r="A1" s="4" t="s">
        <v>17</v>
      </c>
      <c r="B1" s="4" t="s">
        <v>18</v>
      </c>
      <c r="C1" s="4" t="s">
        <v>19</v>
      </c>
    </row>
    <row r="2" spans="1:3" x14ac:dyDescent="0.35">
      <c r="A2" s="5">
        <v>1</v>
      </c>
      <c r="B2" s="5">
        <v>5</v>
      </c>
      <c r="C2" s="5">
        <f>B2/A2</f>
        <v>5</v>
      </c>
    </row>
    <row r="3" spans="1:3" x14ac:dyDescent="0.35">
      <c r="A3" s="6">
        <v>2</v>
      </c>
      <c r="B3" s="6">
        <v>10</v>
      </c>
      <c r="C3" s="6">
        <f t="shared" ref="C3:C11" si="0">B3/A3</f>
        <v>5</v>
      </c>
    </row>
    <row r="4" spans="1:3" x14ac:dyDescent="0.35">
      <c r="A4" s="5">
        <v>3</v>
      </c>
      <c r="B4" s="5">
        <v>17</v>
      </c>
      <c r="C4" s="5">
        <f t="shared" si="0"/>
        <v>5.666666666666667</v>
      </c>
    </row>
    <row r="5" spans="1:3" x14ac:dyDescent="0.35">
      <c r="A5" s="6">
        <v>4</v>
      </c>
      <c r="B5" s="6">
        <v>27</v>
      </c>
      <c r="C5" s="6">
        <f t="shared" si="0"/>
        <v>6.75</v>
      </c>
    </row>
    <row r="6" spans="1:3" x14ac:dyDescent="0.35">
      <c r="A6" s="5">
        <v>5</v>
      </c>
      <c r="B6" s="5">
        <v>37</v>
      </c>
      <c r="C6" s="5">
        <f t="shared" si="0"/>
        <v>7.4</v>
      </c>
    </row>
    <row r="7" spans="1:3" x14ac:dyDescent="0.35">
      <c r="A7" s="6">
        <v>6</v>
      </c>
      <c r="B7" s="6">
        <v>49</v>
      </c>
      <c r="C7" s="6">
        <f t="shared" si="0"/>
        <v>8.1666666666666661</v>
      </c>
    </row>
    <row r="8" spans="1:3" x14ac:dyDescent="0.35">
      <c r="A8" s="5">
        <v>7</v>
      </c>
      <c r="B8" s="5">
        <v>63</v>
      </c>
      <c r="C8" s="5">
        <f t="shared" si="0"/>
        <v>9</v>
      </c>
    </row>
    <row r="9" spans="1:3" x14ac:dyDescent="0.35">
      <c r="A9" s="6">
        <v>8</v>
      </c>
      <c r="B9" s="6">
        <v>75</v>
      </c>
      <c r="C9" s="6">
        <f t="shared" si="0"/>
        <v>9.375</v>
      </c>
    </row>
    <row r="10" spans="1:3" x14ac:dyDescent="0.35">
      <c r="A10" s="5">
        <v>9</v>
      </c>
      <c r="B10" s="5">
        <v>83</v>
      </c>
      <c r="C10" s="5">
        <f t="shared" si="0"/>
        <v>9.2222222222222214</v>
      </c>
    </row>
    <row r="11" spans="1:3" x14ac:dyDescent="0.35">
      <c r="A11" s="7">
        <v>10</v>
      </c>
      <c r="B11" s="7">
        <v>91</v>
      </c>
      <c r="C11" s="7">
        <f t="shared" si="0"/>
        <v>9.1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Quistion1</vt:lpstr>
      <vt:lpstr> Quistion2 Table1</vt:lpstr>
      <vt:lpstr>Table2</vt:lpstr>
      <vt:lpstr>Table3</vt:lpstr>
      <vt:lpstr>Quistion3</vt:lpstr>
      <vt:lpstr>Quistion4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2025-12-26T20:05:34Z</dcterms:modified>
</cp:coreProperties>
</file>